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ysha\Downloads\"/>
    </mc:Choice>
  </mc:AlternateContent>
  <xr:revisionPtr revIDLastSave="0" documentId="13_ncr:1_{15624666-AD20-4204-A2E3-3F97EA22E27E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Instructions" sheetId="1" r:id="rId1"/>
    <sheet name="Dataset" sheetId="2" r:id="rId2"/>
    <sheet name="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5" i="2" l="1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C47" i="2"/>
  <c r="C4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C44" i="2"/>
  <c r="C43" i="2"/>
  <c r="C41" i="2"/>
  <c r="C40" i="2"/>
  <c r="C39" i="2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<sst xmlns="http://schemas.openxmlformats.org/spreadsheetml/2006/main" count="312" uniqueCount="121">
  <si>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</si>
  <si>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</si>
  <si>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</si>
  <si>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</si>
  <si>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</si>
  <si>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</si>
  <si>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</si>
  <si>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</si>
  <si>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</si>
  <si>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</si>
  <si>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</si>
  <si>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</si>
  <si>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</si>
  <si>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</si>
  <si>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</si>
  <si>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</si>
  <si>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</si>
  <si>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</si>
  <si>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</si>
  <si>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</si>
  <si>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</si>
  <si>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</si>
  <si>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</si>
  <si>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</si>
  <si>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</si>
  <si>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</si>
  <si>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</si>
  <si>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</si>
  <si>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</si>
  <si>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</si>
  <si>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</si>
  <si>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</si>
  <si>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</si>
  <si>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</si>
  <si>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</si>
  <si>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</si>
  <si>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</si>
  <si>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</si>
  <si>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</si>
  <si>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</si>
  <si>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</si>
  <si>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</si>
  <si>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</si>
  <si>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</si>
  <si>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</si>
  <si>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</si>
  <si>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</si>
  <si>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</si>
  <si>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</si>
  <si>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</si>
  <si>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</si>
  <si>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</si>
  <si>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</si>
  <si>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</si>
  <si>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</si>
  <si>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</si>
  <si>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</si>
  <si>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</si>
  <si>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</si>
  <si>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</si>
  <si>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</si>
  <si>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</si>
  <si>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</si>
  <si>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</si>
  <si>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</si>
  <si>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</si>
  <si>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</si>
  <si>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</si>
  <si>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</si>
  <si>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</si>
  <si>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</si>
  <si>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</si>
  <si>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</si>
  <si>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</si>
  <si>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</si>
  <si>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</si>
  <si>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</si>
  <si>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</si>
  <si>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</si>
  <si>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</si>
  <si>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</si>
  <si>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</si>
  <si>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</si>
  <si>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</si>
  <si>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</si>
  <si>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</si>
  <si>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</si>
  <si>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</si>
  <si>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</si>
  <si>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</si>
  <si>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</si>
  <si>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</si>
  <si>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</si>
  <si>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</si>
  <si>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</si>
  <si>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</si>
  <si>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</si>
  <si>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</si>
  <si>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</si>
  <si>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</si>
  <si>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</si>
  <si>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</si>
  <si>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</si>
  <si>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</si>
  <si>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</si>
  <si>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</si>
  <si>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</si>
  <si>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</si>
  <si>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</si>
  <si>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</si>
  <si>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</si>
  <si>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</si>
  <si>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</si>
  <si>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</si>
  <si>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</si>
  <si>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IF</t>
  </si>
  <si>
    <t>SUMIF</t>
  </si>
  <si>
    <t>COUNTIF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</si>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</sst>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0" workbookViewId="0">
      <selection activeCell="B3" sqref="B3:F23"/>
    </sheetView>
  </sheetViews>
  <sheetFormatPr defaultColWidth="12.59765625" defaultRowHeight="15" customHeight="1" x14ac:dyDescent="0.35"/>
  <cols>
    <col min="1" max="1" width="12.59765625" customWidth="1"/>
    <col min="2" max="2" width="7.46484375" customWidth="1"/>
    <col min="3" max="6" width="12.59765625" customWidth="1"/>
  </cols>
  <sheetData>
    <row r="1" spans="1:3" ht="15.75" customHeight="1" x14ac:dyDescent="0.4">
      <c r="A1" s="1" t="s">
        <v>0</v>
      </c>
    </row>
    <row r="2" spans="1:3" ht="15.75" customHeight="1" x14ac:dyDescent="0.35"/>
    <row r="3" spans="1:3" ht="15.75" customHeight="1" x14ac:dyDescent="0.4">
      <c r="B3" s="2" t="s">
        <v>1</v>
      </c>
    </row>
    <row r="4" spans="1:3" ht="15.75" customHeight="1" x14ac:dyDescent="0.45">
      <c r="B4" s="2"/>
      <c r="C4" s="3" t="s">
        <v>2</v>
      </c>
    </row>
    <row r="5" spans="1:3" ht="15.75" customHeight="1" x14ac:dyDescent="0.45">
      <c r="B5" s="2"/>
      <c r="C5" s="3" t="s">
        <v>3</v>
      </c>
    </row>
    <row r="6" spans="1:3" ht="15.75" customHeight="1" x14ac:dyDescent="0.45">
      <c r="B6" s="2"/>
      <c r="C6" s="3" t="s">
        <v>4</v>
      </c>
    </row>
    <row r="7" spans="1:3" ht="15.75" customHeight="1" x14ac:dyDescent="0.45">
      <c r="B7" s="4"/>
    </row>
    <row r="8" spans="1:3" ht="15.75" customHeight="1" x14ac:dyDescent="0.4">
      <c r="B8" s="2" t="s">
        <v>5</v>
      </c>
    </row>
    <row r="9" spans="1:3" ht="15.75" customHeight="1" x14ac:dyDescent="0.45">
      <c r="C9" s="3" t="s">
        <v>6</v>
      </c>
    </row>
    <row r="10" spans="1:3" ht="15.75" customHeight="1" x14ac:dyDescent="0.45">
      <c r="C10" s="3" t="s">
        <v>7</v>
      </c>
    </row>
    <row r="11" spans="1:3" ht="15.75" customHeight="1" x14ac:dyDescent="0.45">
      <c r="B11" s="4"/>
    </row>
    <row r="12" spans="1:3" ht="15.75" customHeight="1" x14ac:dyDescent="0.4">
      <c r="B12" s="2" t="s">
        <v>8</v>
      </c>
    </row>
    <row r="13" spans="1:3" ht="15.75" customHeight="1" x14ac:dyDescent="0.45">
      <c r="C13" s="3" t="s">
        <v>9</v>
      </c>
    </row>
    <row r="14" spans="1:3" ht="15.75" customHeight="1" x14ac:dyDescent="0.45">
      <c r="B14" s="4"/>
    </row>
    <row r="15" spans="1:3" ht="15.75" customHeight="1" x14ac:dyDescent="0.4">
      <c r="B15" s="2" t="s">
        <v>10</v>
      </c>
    </row>
    <row r="16" spans="1:3" ht="15.75" customHeight="1" x14ac:dyDescent="0.45">
      <c r="C16" s="3" t="s">
        <v>11</v>
      </c>
    </row>
    <row r="17" spans="2:3" ht="15.75" customHeight="1" x14ac:dyDescent="0.45">
      <c r="C17" s="3" t="s">
        <v>12</v>
      </c>
    </row>
    <row r="18" spans="2:3" ht="15.75" customHeight="1" x14ac:dyDescent="0.45">
      <c r="B18" s="4"/>
    </row>
    <row r="19" spans="2:3" ht="15.75" customHeight="1" x14ac:dyDescent="0.4">
      <c r="B19" s="2" t="s">
        <v>13</v>
      </c>
    </row>
    <row r="20" spans="2:3" ht="15.75" customHeight="1" x14ac:dyDescent="0.45">
      <c r="C20" s="3" t="s">
        <v>14</v>
      </c>
    </row>
    <row r="21" spans="2:3" ht="15.75" customHeight="1" x14ac:dyDescent="0.45">
      <c r="C21" s="3" t="s">
        <v>15</v>
      </c>
    </row>
    <row r="22" spans="2:3" ht="15.75" customHeight="1" x14ac:dyDescent="0.45">
      <c r="C22" s="3" t="s">
        <v>16</v>
      </c>
    </row>
    <row r="23" spans="2:3" ht="15.75" customHeight="1" x14ac:dyDescent="0.45">
      <c r="B23" s="4"/>
    </row>
    <row r="24" spans="2:3" ht="15.75" customHeight="1" x14ac:dyDescent="0.35"/>
    <row r="25" spans="2:3" ht="15.75" customHeight="1" x14ac:dyDescent="0.35"/>
    <row r="26" spans="2:3" ht="15.75" customHeight="1" x14ac:dyDescent="0.35"/>
    <row r="27" spans="2:3" ht="15.75" customHeight="1" x14ac:dyDescent="0.35"/>
    <row r="28" spans="2:3" ht="15.75" customHeight="1" x14ac:dyDescent="0.35"/>
    <row r="29" spans="2:3" ht="15.75" customHeight="1" x14ac:dyDescent="0.35"/>
    <row r="30" spans="2:3" ht="15.75" customHeight="1" x14ac:dyDescent="0.35"/>
    <row r="31" spans="2:3" ht="15.75" customHeight="1" x14ac:dyDescent="0.35"/>
    <row r="32" spans="2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L5" sqref="L5"/>
    </sheetView>
  </sheetViews>
  <sheetFormatPr defaultColWidth="12.59765625" defaultRowHeight="15" customHeight="1" x14ac:dyDescent="0.35"/>
  <cols>
    <col min="1" max="1" width="12.59765625" customWidth="1"/>
    <col min="2" max="2" width="14.1328125" customWidth="1"/>
    <col min="3" max="6" width="12.59765625" customWidth="1"/>
    <col min="7" max="10" width="16.86328125" bestFit="1" customWidth="1"/>
  </cols>
  <sheetData>
    <row r="1" spans="1:10" ht="15.75" customHeight="1" x14ac:dyDescent="0.4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</row>
    <row r="2" spans="1:10" ht="15.75" customHeight="1" x14ac:dyDescent="0.3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</row>
    <row r="3" spans="1:10" ht="15.75" customHeight="1" x14ac:dyDescent="0.3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 t="str">
        <f t="shared" ref="G3:G35" si="0">IF(D3&gt;=500,"HIGH PRICE","STANDARD PRICE")</f>
        <v>STANDARD PRICE</v>
      </c>
      <c r="H3" s="8" t="str">
        <f t="shared" ref="H3:H35" si="1">LEFT(A3,2)</f>
        <v>15</v>
      </c>
      <c r="I3" s="8" t="str">
        <f t="shared" ref="I3:I35" si="2">RIGHT(A3,2)</f>
        <v>US</v>
      </c>
      <c r="J3" s="8" t="str">
        <f t="shared" ref="J3:J35" si="3">MID(A3,4,3)</f>
        <v>FEB</v>
      </c>
    </row>
    <row r="4" spans="1:10" ht="15.75" customHeight="1" x14ac:dyDescent="0.3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</row>
    <row r="5" spans="1:10" ht="15.75" customHeight="1" x14ac:dyDescent="0.3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8" t="str">
        <f t="shared" si="0"/>
        <v>HIGH PRICE</v>
      </c>
      <c r="H5" s="8" t="str">
        <f t="shared" si="1"/>
        <v>11</v>
      </c>
      <c r="I5" s="8" t="str">
        <f t="shared" si="2"/>
        <v>US</v>
      </c>
      <c r="J5" s="8" t="str">
        <f t="shared" si="3"/>
        <v>APR</v>
      </c>
    </row>
    <row r="6" spans="1:10" ht="15.75" customHeight="1" x14ac:dyDescent="0.3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</row>
    <row r="7" spans="1:10" ht="15.75" customHeight="1" x14ac:dyDescent="0.3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8" t="str">
        <f t="shared" si="0"/>
        <v>STANDARD PRICE</v>
      </c>
      <c r="H7" s="8" t="str">
        <f t="shared" si="1"/>
        <v>07</v>
      </c>
      <c r="I7" s="8" t="str">
        <f t="shared" si="2"/>
        <v>UK</v>
      </c>
      <c r="J7" s="8" t="str">
        <f t="shared" si="3"/>
        <v>JUN</v>
      </c>
    </row>
    <row r="8" spans="1:10" ht="15.75" customHeight="1" x14ac:dyDescent="0.3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</row>
    <row r="9" spans="1:10" ht="15.75" customHeight="1" x14ac:dyDescent="0.3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8" t="str">
        <f t="shared" si="0"/>
        <v>STANDARD PRICE</v>
      </c>
      <c r="H9" s="8" t="str">
        <f t="shared" si="1"/>
        <v>23</v>
      </c>
      <c r="I9" s="8" t="str">
        <f t="shared" si="2"/>
        <v>UK</v>
      </c>
      <c r="J9" s="8" t="str">
        <f t="shared" si="3"/>
        <v>AUG</v>
      </c>
    </row>
    <row r="10" spans="1:10" ht="15.75" customHeight="1" x14ac:dyDescent="0.3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</row>
    <row r="11" spans="1:10" ht="15.75" customHeight="1" x14ac:dyDescent="0.3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8" t="str">
        <f t="shared" si="0"/>
        <v>STANDARD PRICE</v>
      </c>
      <c r="H11" s="8" t="str">
        <f t="shared" si="1"/>
        <v>14</v>
      </c>
      <c r="I11" s="8" t="str">
        <f t="shared" si="2"/>
        <v>UK</v>
      </c>
      <c r="J11" s="8" t="str">
        <f t="shared" si="3"/>
        <v>OCT</v>
      </c>
    </row>
    <row r="12" spans="1:10" ht="15.75" customHeight="1" x14ac:dyDescent="0.3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</row>
    <row r="13" spans="1:10" ht="15.75" customHeight="1" x14ac:dyDescent="0.3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8" t="str">
        <f t="shared" si="0"/>
        <v>STANDARD PRICE</v>
      </c>
      <c r="H13" s="8" t="str">
        <f t="shared" si="1"/>
        <v>25</v>
      </c>
      <c r="I13" s="8" t="str">
        <f t="shared" si="2"/>
        <v>AU</v>
      </c>
      <c r="J13" s="8" t="str">
        <f t="shared" si="3"/>
        <v>NOV</v>
      </c>
    </row>
    <row r="14" spans="1:10" ht="15.75" customHeight="1" x14ac:dyDescent="0.3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0" ht="15.75" customHeight="1" x14ac:dyDescent="0.3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8" t="str">
        <f t="shared" si="0"/>
        <v>STANDARD PRICE</v>
      </c>
      <c r="H15" s="8" t="str">
        <f t="shared" si="1"/>
        <v>18</v>
      </c>
      <c r="I15" s="8" t="str">
        <f t="shared" si="2"/>
        <v>CA</v>
      </c>
      <c r="J15" s="8" t="str">
        <f t="shared" si="3"/>
        <v>FEB</v>
      </c>
    </row>
    <row r="16" spans="1:10" ht="15.75" customHeight="1" x14ac:dyDescent="0.3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0" ht="15.75" customHeight="1" x14ac:dyDescent="0.3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8" t="str">
        <f t="shared" si="0"/>
        <v>STANDARD PRICE</v>
      </c>
      <c r="H17" s="8" t="str">
        <f t="shared" si="1"/>
        <v>21</v>
      </c>
      <c r="I17" s="8" t="str">
        <f t="shared" si="2"/>
        <v>CA</v>
      </c>
      <c r="J17" s="8" t="str">
        <f t="shared" si="3"/>
        <v>AUG</v>
      </c>
    </row>
    <row r="18" spans="1:10" ht="15.75" customHeight="1" x14ac:dyDescent="0.3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0" ht="15.75" customHeight="1" x14ac:dyDescent="0.3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8" t="str">
        <f t="shared" si="0"/>
        <v>HIGH PRICE</v>
      </c>
      <c r="H19" s="8" t="str">
        <f t="shared" si="1"/>
        <v>27</v>
      </c>
      <c r="I19" s="8" t="str">
        <f t="shared" si="2"/>
        <v>IT</v>
      </c>
      <c r="J19" s="8" t="str">
        <f t="shared" si="3"/>
        <v>JAN</v>
      </c>
    </row>
    <row r="20" spans="1:10" ht="15.75" customHeight="1" x14ac:dyDescent="0.3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0" ht="15.75" customHeight="1" x14ac:dyDescent="0.3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8" t="str">
        <f t="shared" si="0"/>
        <v>STANDARD PRICE</v>
      </c>
      <c r="H21" s="8" t="str">
        <f t="shared" si="1"/>
        <v>14</v>
      </c>
      <c r="I21" s="8" t="str">
        <f t="shared" si="2"/>
        <v>US</v>
      </c>
      <c r="J21" s="8" t="str">
        <f t="shared" si="3"/>
        <v>AUG</v>
      </c>
    </row>
    <row r="22" spans="1:10" ht="15.75" customHeight="1" x14ac:dyDescent="0.3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0" ht="15.75" customHeight="1" x14ac:dyDescent="0.3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8" t="str">
        <f t="shared" si="0"/>
        <v>STANDARD PRICE</v>
      </c>
      <c r="H23" s="8" t="str">
        <f t="shared" si="1"/>
        <v>09</v>
      </c>
      <c r="I23" s="8" t="str">
        <f t="shared" si="2"/>
        <v>CA</v>
      </c>
      <c r="J23" s="8" t="str">
        <f t="shared" si="3"/>
        <v>JAN</v>
      </c>
    </row>
    <row r="24" spans="1:10" ht="15.75" customHeight="1" x14ac:dyDescent="0.3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0" ht="15.75" customHeight="1" x14ac:dyDescent="0.3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8" t="str">
        <f t="shared" si="0"/>
        <v>STANDARD PRICE</v>
      </c>
      <c r="H25" s="8" t="str">
        <f t="shared" si="1"/>
        <v>21</v>
      </c>
      <c r="I25" s="8" t="str">
        <f t="shared" si="2"/>
        <v>CA</v>
      </c>
      <c r="J25" s="8" t="str">
        <f t="shared" si="3"/>
        <v>AUG</v>
      </c>
    </row>
    <row r="26" spans="1:10" ht="15.75" customHeight="1" x14ac:dyDescent="0.3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0" ht="15.75" customHeight="1" x14ac:dyDescent="0.3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8" t="str">
        <f t="shared" si="0"/>
        <v>STANDARD PRICE</v>
      </c>
      <c r="H27" s="8" t="str">
        <f t="shared" si="1"/>
        <v>03</v>
      </c>
      <c r="I27" s="8" t="str">
        <f t="shared" si="2"/>
        <v>CA</v>
      </c>
      <c r="J27" s="8" t="str">
        <f t="shared" si="3"/>
        <v>JUN</v>
      </c>
    </row>
    <row r="28" spans="1:10" ht="15.75" customHeight="1" x14ac:dyDescent="0.3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0" ht="15.75" customHeight="1" x14ac:dyDescent="0.3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8" t="str">
        <f t="shared" si="0"/>
        <v>STANDARD PRICE</v>
      </c>
      <c r="H29" s="8" t="str">
        <f t="shared" si="1"/>
        <v>16</v>
      </c>
      <c r="I29" s="8" t="str">
        <f t="shared" si="2"/>
        <v>ES</v>
      </c>
      <c r="J29" s="8" t="str">
        <f t="shared" si="3"/>
        <v>APR</v>
      </c>
    </row>
    <row r="30" spans="1:10" ht="15.75" customHeight="1" x14ac:dyDescent="0.3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0" ht="15.75" customHeight="1" x14ac:dyDescent="0.3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8" t="str">
        <f t="shared" si="0"/>
        <v>STANDARD PRICE</v>
      </c>
      <c r="H31" s="8" t="str">
        <f t="shared" si="1"/>
        <v>13</v>
      </c>
      <c r="I31" s="8" t="str">
        <f t="shared" si="2"/>
        <v>CA</v>
      </c>
      <c r="J31" s="8" t="str">
        <f t="shared" si="3"/>
        <v>APR</v>
      </c>
    </row>
    <row r="32" spans="1:10" ht="15.75" customHeight="1" x14ac:dyDescent="0.3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ht="15.75" customHeight="1" x14ac:dyDescent="0.3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8" t="str">
        <f t="shared" si="0"/>
        <v>STANDARD PRICE</v>
      </c>
      <c r="H33" s="8" t="str">
        <f t="shared" si="1"/>
        <v>02</v>
      </c>
      <c r="I33" s="8" t="str">
        <f t="shared" si="2"/>
        <v>CA</v>
      </c>
      <c r="J33" s="8" t="str">
        <f t="shared" si="3"/>
        <v>DEC</v>
      </c>
    </row>
    <row r="34" spans="1:10" ht="15.75" customHeight="1" x14ac:dyDescent="0.3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ht="15.75" customHeight="1" x14ac:dyDescent="0.3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8" t="str">
        <f t="shared" si="0"/>
        <v>STANDARD PRICE</v>
      </c>
      <c r="H35" s="8" t="str">
        <f t="shared" si="1"/>
        <v>09</v>
      </c>
      <c r="I35" s="8" t="str">
        <f t="shared" si="2"/>
        <v>FR</v>
      </c>
      <c r="J35" s="8" t="str">
        <f t="shared" si="3"/>
        <v>JUL</v>
      </c>
    </row>
    <row r="36" spans="1:10" ht="15.75" customHeight="1" x14ac:dyDescent="0.35"/>
    <row r="37" spans="1:10" ht="15.75" customHeight="1" x14ac:dyDescent="0.35"/>
    <row r="38" spans="1:10" ht="15.75" customHeight="1" x14ac:dyDescent="0.35"/>
    <row r="39" spans="1:10" ht="15.75" customHeight="1" x14ac:dyDescent="0.35">
      <c r="A39" s="10">
        <v>1</v>
      </c>
      <c r="B39" s="10" t="s">
        <v>110</v>
      </c>
      <c r="C39" s="10">
        <f>SUM(D2:D35)</f>
        <v>10100</v>
      </c>
    </row>
    <row r="40" spans="1:10" ht="15.75" customHeight="1" x14ac:dyDescent="0.35">
      <c r="A40" s="10">
        <v>2</v>
      </c>
      <c r="B40" s="10" t="s">
        <v>111</v>
      </c>
      <c r="C40" s="10">
        <f>COUNTA(B2:B35)</f>
        <v>34</v>
      </c>
    </row>
    <row r="41" spans="1:10" ht="15.75" customHeight="1" x14ac:dyDescent="0.35">
      <c r="A41" s="10">
        <v>3</v>
      </c>
      <c r="B41" s="10" t="s">
        <v>112</v>
      </c>
      <c r="C41" s="11">
        <f>AVERAGE(D2:D35)</f>
        <v>297.05882352941177</v>
      </c>
    </row>
    <row r="42" spans="1:10" ht="15.75" customHeight="1" x14ac:dyDescent="0.35">
      <c r="A42" s="10"/>
      <c r="B42" s="10"/>
      <c r="C42" s="10"/>
    </row>
    <row r="43" spans="1:10" ht="15.75" customHeight="1" x14ac:dyDescent="0.35">
      <c r="A43" s="10">
        <v>4</v>
      </c>
      <c r="B43" s="10" t="s">
        <v>113</v>
      </c>
      <c r="C43" s="10">
        <f>MIN(D2:D35)</f>
        <v>30</v>
      </c>
    </row>
    <row r="44" spans="1:10" ht="15.75" customHeight="1" x14ac:dyDescent="0.35">
      <c r="A44" s="10">
        <v>5</v>
      </c>
      <c r="B44" s="10" t="s">
        <v>114</v>
      </c>
      <c r="C44" s="10">
        <f>MAX(D2:D35)</f>
        <v>1000</v>
      </c>
    </row>
    <row r="45" spans="1:10" ht="15.75" customHeight="1" x14ac:dyDescent="0.35">
      <c r="A45" s="10"/>
      <c r="B45" s="10"/>
      <c r="C45" s="10"/>
    </row>
    <row r="46" spans="1:10" ht="15.75" customHeight="1" x14ac:dyDescent="0.35">
      <c r="A46" s="10">
        <v>6</v>
      </c>
      <c r="B46" s="10" t="s">
        <v>116</v>
      </c>
      <c r="C46" s="10">
        <f>SUMIF(F2:F35,"Electronics",D2:D35)</f>
        <v>8050</v>
      </c>
    </row>
    <row r="47" spans="1:10" ht="15.75" customHeight="1" x14ac:dyDescent="0.35">
      <c r="A47" s="10">
        <v>7</v>
      </c>
      <c r="B47" s="10" t="s">
        <v>117</v>
      </c>
      <c r="C47" s="10">
        <f>COUNTIF(D2:D35,"&lt;100")</f>
        <v>11</v>
      </c>
    </row>
    <row r="48" spans="1:10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2F82-33FF-4DEC-9560-55C741A3F2A5}">
  <dimension ref="A1:G1000"/>
  <sheetViews>
    <sheetView topLeftCell="A13" workbookViewId="0">
      <selection activeCell="A37" sqref="A37"/>
    </sheetView>
  </sheetViews>
  <sheetFormatPr defaultColWidth="12.59765625" defaultRowHeight="12.75" x14ac:dyDescent="0.35"/>
  <cols>
    <col min="2" max="2" width="14.1328125" customWidth="1"/>
  </cols>
  <sheetData>
    <row r="1" spans="1:7" ht="15.75" customHeight="1" x14ac:dyDescent="0.4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3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3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3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3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3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3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3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3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3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3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3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3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3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3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3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3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3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3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3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3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3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3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3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3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3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3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3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3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3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3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3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3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3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3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35"/>
    <row r="37" spans="1:7" ht="15.75" customHeight="1" x14ac:dyDescent="0.35"/>
    <row r="38" spans="1:7" ht="15.75" customHeight="1" x14ac:dyDescent="0.35"/>
    <row r="39" spans="1:7" ht="15.75" customHeight="1" x14ac:dyDescent="0.35"/>
    <row r="40" spans="1:7" ht="15.75" customHeight="1" x14ac:dyDescent="0.35"/>
    <row r="41" spans="1:7" ht="15.75" customHeight="1" x14ac:dyDescent="0.35"/>
    <row r="42" spans="1:7" ht="15.75" customHeight="1" x14ac:dyDescent="0.35"/>
    <row r="43" spans="1:7" ht="15.75" customHeight="1" x14ac:dyDescent="0.35"/>
    <row r="44" spans="1:7" ht="15.75" customHeight="1" x14ac:dyDescent="0.35"/>
    <row r="45" spans="1:7" ht="15.75" customHeight="1" x14ac:dyDescent="0.35"/>
    <row r="46" spans="1:7" ht="15.75" customHeight="1" x14ac:dyDescent="0.35"/>
    <row r="47" spans="1:7" ht="15.75" customHeight="1" x14ac:dyDescent="0.35"/>
    <row r="48" spans="1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Vyshakh C A</cp:lastModifiedBy>
  <dcterms:modified xsi:type="dcterms:W3CDTF">2026-10-18T08:22:05Z</dcterms:modified>
</cp:coreProperties>
</file>